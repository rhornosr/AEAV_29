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pm365.sharepoint.com/sites/AeAvGrupo29/Documentos compartidos/General/"/>
    </mc:Choice>
  </mc:AlternateContent>
  <xr:revisionPtr revIDLastSave="323" documentId="11_02E15DE35A8B5E57E00D8FD1D1CD890E3373ED3F" xr6:coauthVersionLast="46" xr6:coauthVersionMax="46" xr10:uidLastSave="{3727B891-0E9F-4994-998F-AD6400EBBC22}"/>
  <bookViews>
    <workbookView xWindow="-108" yWindow="-108" windowWidth="23256" windowHeight="12576" xr2:uid="{00000000-000D-0000-FFFF-FFFF00000000}"/>
  </bookViews>
  <sheets>
    <sheet name="Hoja1" sheetId="1" r:id="rId1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1" i="1" l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C30" i="1"/>
  <c r="B30" i="1"/>
  <c r="C18" i="1"/>
  <c r="B18" i="1"/>
  <c r="B19" i="1"/>
  <c r="B20" i="1"/>
  <c r="B21" i="1"/>
  <c r="B22" i="1"/>
  <c r="B23" i="1"/>
  <c r="B24" i="1"/>
  <c r="B25" i="1"/>
  <c r="B26" i="1"/>
  <c r="B27" i="1"/>
  <c r="C19" i="1"/>
  <c r="C20" i="1"/>
  <c r="C21" i="1"/>
  <c r="C22" i="1"/>
  <c r="C23" i="1"/>
  <c r="C24" i="1"/>
  <c r="C25" i="1"/>
  <c r="C26" i="1"/>
  <c r="C27" i="1"/>
  <c r="E3" i="1"/>
</calcChain>
</file>

<file path=xl/sharedStrings.xml><?xml version="1.0" encoding="utf-8"?>
<sst xmlns="http://schemas.openxmlformats.org/spreadsheetml/2006/main" count="14" uniqueCount="13">
  <si>
    <t>Aluminio 7075-T7</t>
  </si>
  <si>
    <t>Módulo elástico (Pa)</t>
  </si>
  <si>
    <t>Módulo a cortadura (Pa)</t>
  </si>
  <si>
    <t xml:space="preserve">Módulo de Poisson </t>
  </si>
  <si>
    <t>Y (m)</t>
  </si>
  <si>
    <t>Momento de inercia a flexión I2</t>
  </si>
  <si>
    <t>Momento de inercia a torsión J</t>
  </si>
  <si>
    <t>Y buena (m)</t>
  </si>
  <si>
    <t>Momento de inercia a flexión I2 (kgm2)</t>
  </si>
  <si>
    <t>Momento de inercia a torsión J (m4)</t>
  </si>
  <si>
    <t>I2 (flexion)</t>
  </si>
  <si>
    <t>J (torsion)</t>
  </si>
  <si>
    <t>Nodo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</si>
</sst>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3">
    <font>
      <sz val="11"/>
      <color theme="1"/>
      <name val="Calibri"/>
      <family val="2"/>
      <scheme val="minor"/>
    </font>
    <font>
      <sz val="11"/>
      <color rgb="FF444444"/>
      <name val="Calibri"/>
      <family val="2"/>
    </font>
    <font>
      <sz val="11"/>
      <color rgb="FF444444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rgb="FF70AD47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0" fillId="2" borderId="0" xfId="0" applyFill="1"/>
    <xf numFmtId="0" fontId="0" fillId="3" borderId="0" xfId="0" applyFill="1"/>
    <xf numFmtId="11" fontId="0" fillId="4" borderId="0" xfId="0" applyNumberFormat="1" applyFill="1"/>
    <xf numFmtId="0" fontId="0" fillId="4" borderId="0" xfId="0" applyFill="1"/>
    <xf numFmtId="0" fontId="1" fillId="2" borderId="0" xfId="0" applyFont="1" applyFill="1" applyAlignment="1">
      <alignment wrapText="1"/>
    </xf>
    <xf numFmtId="164" fontId="2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Hoja1!$B$5</c:f>
              <c:strCache>
                <c:ptCount val="1"/>
                <c:pt idx="0">
                  <c:v>Momento de inercia a flexión I2</c:v>
                </c:pt>
              </c:strCache>
            </c:strRef>
          </c:tx>
          <c:trendline>
            <c:trendlineType val="poly"/>
            <c:order val="4"/>
            <c:forward val="0.5"/>
            <c:backward val="0.5"/>
            <c:dispRSqr val="1"/>
            <c:dispEq val="1"/>
            <c:trendlineLbl>
              <c:layout>
                <c:manualLayout>
                  <c:x val="7.7138819569735353E-2"/>
                  <c:y val="-0.42624635887569645"/>
                </c:manualLayout>
              </c:layout>
              <c:numFmt formatCode="#,##0.000000000000000" sourceLinked="0"/>
            </c:trendlineLbl>
          </c:trendline>
          <c:xVal>
            <c:numRef>
              <c:f>Hoja1!$A$6:$A$15</c:f>
              <c:numCache>
                <c:formatCode>General</c:formatCode>
                <c:ptCount val="10"/>
                <c:pt idx="0">
                  <c:v>0.25</c:v>
                </c:pt>
                <c:pt idx="1">
                  <c:v>0.75</c:v>
                </c:pt>
                <c:pt idx="2">
                  <c:v>1.25</c:v>
                </c:pt>
                <c:pt idx="3">
                  <c:v>1.75</c:v>
                </c:pt>
                <c:pt idx="4">
                  <c:v>2.25</c:v>
                </c:pt>
                <c:pt idx="5">
                  <c:v>2.75</c:v>
                </c:pt>
                <c:pt idx="6">
                  <c:v>3.25</c:v>
                </c:pt>
                <c:pt idx="7">
                  <c:v>3.75</c:v>
                </c:pt>
                <c:pt idx="8">
                  <c:v>4.25</c:v>
                </c:pt>
                <c:pt idx="9">
                  <c:v>4.75</c:v>
                </c:pt>
              </c:numCache>
            </c:numRef>
          </c:xVal>
          <c:yVal>
            <c:numRef>
              <c:f>Hoja1!$B$6:$B$15</c:f>
              <c:numCache>
                <c:formatCode>0.000E+00</c:formatCode>
                <c:ptCount val="10"/>
                <c:pt idx="0">
                  <c:v>5.0000000000000002E-5</c:v>
                </c:pt>
                <c:pt idx="1">
                  <c:v>3.9520000000000001E-5</c:v>
                </c:pt>
                <c:pt idx="2">
                  <c:v>3.0939999999999999E-5</c:v>
                </c:pt>
                <c:pt idx="3">
                  <c:v>2.391E-5</c:v>
                </c:pt>
                <c:pt idx="4">
                  <c:v>1.8159999999999999E-5</c:v>
                </c:pt>
                <c:pt idx="5">
                  <c:v>1.345E-5</c:v>
                </c:pt>
                <c:pt idx="6">
                  <c:v>9.5910000000000002E-6</c:v>
                </c:pt>
                <c:pt idx="7">
                  <c:v>6.4339999999999997E-6</c:v>
                </c:pt>
                <c:pt idx="8">
                  <c:v>3.8489999999999999E-6</c:v>
                </c:pt>
                <c:pt idx="9">
                  <c:v>1.733E-6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840-487C-AC12-A9DA831779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2207760"/>
        <c:axId val="562210384"/>
        <c:extLst/>
      </c:scatterChart>
      <c:valAx>
        <c:axId val="562207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210384"/>
        <c:crosses val="autoZero"/>
        <c:crossBetween val="midCat"/>
      </c:valAx>
      <c:valAx>
        <c:axId val="562210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207760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Hoja1!$C$5</c:f>
              <c:strCache>
                <c:ptCount val="1"/>
                <c:pt idx="0">
                  <c:v>Momento de inercia a torsión J</c:v>
                </c:pt>
              </c:strCache>
              <c:extLst xmlns:c15="http://schemas.microsoft.com/office/drawing/2012/chart"/>
            </c:strRef>
          </c:tx>
          <c:trendline>
            <c:trendlineType val="poly"/>
            <c:order val="6"/>
            <c:forward val="0.5"/>
            <c:backward val="0.5"/>
            <c:dispRSqr val="1"/>
            <c:dispEq val="1"/>
            <c:trendlineLbl>
              <c:layout>
                <c:manualLayout>
                  <c:x val="0.10781513459695852"/>
                  <c:y val="-0.58977653834937305"/>
                </c:manualLayout>
              </c:layout>
              <c:numFmt formatCode="#,##0.000000000000000" sourceLinked="0"/>
            </c:trendlineLbl>
          </c:trendline>
          <c:xVal>
            <c:numRef>
              <c:f>Hoja1!$A$6:$A$15</c:f>
              <c:numCache>
                <c:formatCode>General</c:formatCode>
                <c:ptCount val="10"/>
                <c:pt idx="0">
                  <c:v>0.25</c:v>
                </c:pt>
                <c:pt idx="1">
                  <c:v>0.75</c:v>
                </c:pt>
                <c:pt idx="2">
                  <c:v>1.25</c:v>
                </c:pt>
                <c:pt idx="3">
                  <c:v>1.75</c:v>
                </c:pt>
                <c:pt idx="4">
                  <c:v>2.25</c:v>
                </c:pt>
                <c:pt idx="5">
                  <c:v>2.75</c:v>
                </c:pt>
                <c:pt idx="6">
                  <c:v>3.25</c:v>
                </c:pt>
                <c:pt idx="7">
                  <c:v>3.75</c:v>
                </c:pt>
                <c:pt idx="8">
                  <c:v>4.25</c:v>
                </c:pt>
                <c:pt idx="9">
                  <c:v>4.75</c:v>
                </c:pt>
              </c:numCache>
            </c:numRef>
          </c:xVal>
          <c:yVal>
            <c:numRef>
              <c:f>Hoja1!$C$6:$C$15</c:f>
              <c:numCache>
                <c:formatCode>0.000E+00</c:formatCode>
                <c:ptCount val="10"/>
                <c:pt idx="0">
                  <c:v>5.0000000000000002E-5</c:v>
                </c:pt>
                <c:pt idx="1">
                  <c:v>4.6940000000000001E-5</c:v>
                </c:pt>
                <c:pt idx="2">
                  <c:v>4.3560000000000003E-5</c:v>
                </c:pt>
                <c:pt idx="3">
                  <c:v>3.9820000000000002E-5</c:v>
                </c:pt>
                <c:pt idx="4">
                  <c:v>3.5689999999999999E-5</c:v>
                </c:pt>
                <c:pt idx="5">
                  <c:v>3.112E-5</c:v>
                </c:pt>
                <c:pt idx="6">
                  <c:v>2.6080000000000001E-5</c:v>
                </c:pt>
                <c:pt idx="7">
                  <c:v>2.05E-5</c:v>
                </c:pt>
                <c:pt idx="8">
                  <c:v>1.434E-5</c:v>
                </c:pt>
                <c:pt idx="9">
                  <c:v>7.5270000000000001E-6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0-178C-4BA3-BC70-BF61C9C78F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2207760"/>
        <c:axId val="562210384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Hoja1!$B$5</c15:sqref>
                        </c15:formulaRef>
                      </c:ext>
                    </c:extLst>
                    <c:strCache>
                      <c:ptCount val="1"/>
                      <c:pt idx="0">
                        <c:v>Momento de inercia a flexión I2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trendline>
                  <c:spPr>
                    <a:ln w="19050" cap="rnd">
                      <a:solidFill>
                        <a:schemeClr val="accent1"/>
                      </a:solidFill>
                      <a:prstDash val="sysDot"/>
                    </a:ln>
                    <a:effectLst/>
                  </c:spPr>
                  <c:trendlineType val="poly"/>
                  <c:order val="6"/>
                  <c:forward val="0.5"/>
                  <c:backward val="0.5"/>
                  <c:dispRSqr val="1"/>
                  <c:dispEq val="1"/>
                  <c:trendlineLbl>
                    <c:layout>
                      <c:manualLayout>
                        <c:x val="0.12101164790841823"/>
                        <c:y val="-0.6010728346456693"/>
                      </c:manualLayout>
                    </c:layout>
                    <c:numFmt formatCode="General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anchor="ctr" anchorCtr="1"/>
                      <a:lstStyle/>
                      <a:p>
                        <a:pPr>
                          <a:defRPr sz="900" b="0" i="0" u="none" strike="noStrike" kern="1200" baseline="0">
                            <a:solidFill>
                              <a:schemeClr val="tx1">
                                <a:lumMod val="65000"/>
                                <a:lumOff val="3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</c:trendlineLbl>
                </c:trendline>
                <c:xVal>
                  <c:numRef>
                    <c:extLst>
                      <c:ext uri="{02D57815-91ED-43cb-92C2-25804820EDAC}">
                        <c15:formulaRef>
                          <c15:sqref>Hoja1!$A$6:$A$15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0.25</c:v>
                      </c:pt>
                      <c:pt idx="1">
                        <c:v>0.75</c:v>
                      </c:pt>
                      <c:pt idx="2">
                        <c:v>1.25</c:v>
                      </c:pt>
                      <c:pt idx="3">
                        <c:v>1.75</c:v>
                      </c:pt>
                      <c:pt idx="4">
                        <c:v>2.25</c:v>
                      </c:pt>
                      <c:pt idx="5">
                        <c:v>2.75</c:v>
                      </c:pt>
                      <c:pt idx="6">
                        <c:v>3.25</c:v>
                      </c:pt>
                      <c:pt idx="7">
                        <c:v>3.75</c:v>
                      </c:pt>
                      <c:pt idx="8">
                        <c:v>4.25</c:v>
                      </c:pt>
                      <c:pt idx="9">
                        <c:v>4.75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Hoja1!$B$6:$B$15</c15:sqref>
                        </c15:formulaRef>
                      </c:ext>
                    </c:extLst>
                    <c:numCache>
                      <c:formatCode>0.000E+00</c:formatCode>
                      <c:ptCount val="10"/>
                      <c:pt idx="0">
                        <c:v>5.0000000000000002E-5</c:v>
                      </c:pt>
                      <c:pt idx="1">
                        <c:v>3.9520000000000001E-5</c:v>
                      </c:pt>
                      <c:pt idx="2">
                        <c:v>3.0939999999999999E-5</c:v>
                      </c:pt>
                      <c:pt idx="3">
                        <c:v>2.391E-5</c:v>
                      </c:pt>
                      <c:pt idx="4">
                        <c:v>1.8159999999999999E-5</c:v>
                      </c:pt>
                      <c:pt idx="5">
                        <c:v>1.345E-5</c:v>
                      </c:pt>
                      <c:pt idx="6">
                        <c:v>9.5910000000000002E-6</c:v>
                      </c:pt>
                      <c:pt idx="7">
                        <c:v>6.4339999999999997E-6</c:v>
                      </c:pt>
                      <c:pt idx="8">
                        <c:v>3.8489999999999999E-6</c:v>
                      </c:pt>
                      <c:pt idx="9">
                        <c:v>1.733E-6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2-178C-4BA3-BC70-BF61C9C78F5E}"/>
                  </c:ext>
                </c:extLst>
              </c15:ser>
            </c15:filteredScatterSeries>
          </c:ext>
        </c:extLst>
      </c:scatterChart>
      <c:valAx>
        <c:axId val="562207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210384"/>
        <c:crosses val="autoZero"/>
        <c:crossBetween val="midCat"/>
      </c:valAx>
      <c:valAx>
        <c:axId val="562210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207760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3</xdr:row>
      <xdr:rowOff>114300</xdr:rowOff>
    </xdr:from>
    <xdr:to>
      <xdr:col>13</xdr:col>
      <xdr:colOff>295275</xdr:colOff>
      <xdr:row>18</xdr:row>
      <xdr:rowOff>123825</xdr:rowOff>
    </xdr:to>
    <xdr:graphicFrame macro="">
      <xdr:nvGraphicFramePr>
        <xdr:cNvPr id="15" name="Gráfico 1">
          <a:extLst>
            <a:ext uri="{FF2B5EF4-FFF2-40B4-BE49-F238E27FC236}">
              <a16:creationId xmlns:a16="http://schemas.microsoft.com/office/drawing/2014/main" id="{EADBCAC1-1F8A-4786-8447-F2D0ECD07B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354330</xdr:colOff>
      <xdr:row>19</xdr:row>
      <xdr:rowOff>22860</xdr:rowOff>
    </xdr:from>
    <xdr:to>
      <xdr:col>13</xdr:col>
      <xdr:colOff>259080</xdr:colOff>
      <xdr:row>34</xdr:row>
      <xdr:rowOff>22860</xdr:rowOff>
    </xdr:to>
    <xdr:graphicFrame macro="">
      <xdr:nvGraphicFramePr>
        <xdr:cNvPr id="10" name="Gráfico 2">
          <a:extLst>
            <a:ext uri="{FF2B5EF4-FFF2-40B4-BE49-F238E27FC236}">
              <a16:creationId xmlns:a16="http://schemas.microsoft.com/office/drawing/2014/main" id="{46AC2792-7050-4B5C-B981-5B8EBDA3739A}"/>
            </a:ext>
            <a:ext uri="{147F2762-F138-4A5C-976F-8EAC2B608ADB}">
              <a16:predDERef xmlns:a16="http://schemas.microsoft.com/office/drawing/2014/main" pred="{EADBCAC1-1F8A-4786-8447-F2D0ECD07B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70"/>
  <sheetViews>
    <sheetView tabSelected="1" topLeftCell="A27" workbookViewId="0">
      <selection activeCell="F38" sqref="F38"/>
    </sheetView>
  </sheetViews>
  <sheetFormatPr defaultColWidth="8.85546875" defaultRowHeight="14.45"/>
  <cols>
    <col min="1" max="1" width="10.5703125" bestFit="1" customWidth="1"/>
    <col min="2" max="2" width="29.85546875" bestFit="1" customWidth="1"/>
    <col min="3" max="3" width="28.85546875" bestFit="1" customWidth="1"/>
    <col min="4" max="4" width="20.85546875" bestFit="1" customWidth="1"/>
    <col min="5" max="5" width="12" customWidth="1"/>
  </cols>
  <sheetData>
    <row r="2" spans="1:5">
      <c r="B2" s="2" t="s">
        <v>0</v>
      </c>
    </row>
    <row r="3" spans="1:5">
      <c r="B3" s="3" t="s">
        <v>1</v>
      </c>
      <c r="C3" s="4">
        <v>72000000000</v>
      </c>
      <c r="D3" s="3" t="s">
        <v>2</v>
      </c>
      <c r="E3" s="4">
        <f>C3/(2*(1+C4))</f>
        <v>27067669172.932331</v>
      </c>
    </row>
    <row r="4" spans="1:5">
      <c r="B4" s="3" t="s">
        <v>3</v>
      </c>
      <c r="C4" s="5">
        <v>0.33</v>
      </c>
    </row>
    <row r="5" spans="1:5">
      <c r="A5" s="2" t="s">
        <v>4</v>
      </c>
      <c r="B5" s="2" t="s">
        <v>5</v>
      </c>
      <c r="C5" s="2" t="s">
        <v>6</v>
      </c>
    </row>
    <row r="6" spans="1:5">
      <c r="A6">
        <v>0.25</v>
      </c>
      <c r="B6" s="1">
        <v>5.0000000000000002E-5</v>
      </c>
      <c r="C6" s="1">
        <v>5.0000000000000002E-5</v>
      </c>
    </row>
    <row r="7" spans="1:5">
      <c r="A7">
        <v>0.75</v>
      </c>
      <c r="B7" s="1">
        <v>3.9520000000000001E-5</v>
      </c>
      <c r="C7" s="1">
        <v>4.6940000000000001E-5</v>
      </c>
    </row>
    <row r="8" spans="1:5">
      <c r="A8">
        <v>1.25</v>
      </c>
      <c r="B8" s="1">
        <v>3.0939999999999999E-5</v>
      </c>
      <c r="C8" s="1">
        <v>4.3560000000000003E-5</v>
      </c>
    </row>
    <row r="9" spans="1:5">
      <c r="A9">
        <v>1.75</v>
      </c>
      <c r="B9" s="1">
        <v>2.391E-5</v>
      </c>
      <c r="C9" s="1">
        <v>3.9820000000000002E-5</v>
      </c>
    </row>
    <row r="10" spans="1:5">
      <c r="A10">
        <v>2.25</v>
      </c>
      <c r="B10" s="1">
        <v>1.8159999999999999E-5</v>
      </c>
      <c r="C10" s="1">
        <v>3.5689999999999999E-5</v>
      </c>
    </row>
    <row r="11" spans="1:5">
      <c r="A11">
        <v>2.75</v>
      </c>
      <c r="B11" s="1">
        <v>1.345E-5</v>
      </c>
      <c r="C11" s="1">
        <v>3.112E-5</v>
      </c>
    </row>
    <row r="12" spans="1:5">
      <c r="A12">
        <v>3.25</v>
      </c>
      <c r="B12" s="1">
        <v>9.5910000000000002E-6</v>
      </c>
      <c r="C12" s="1">
        <v>2.6080000000000001E-5</v>
      </c>
    </row>
    <row r="13" spans="1:5">
      <c r="A13">
        <v>3.75</v>
      </c>
      <c r="B13" s="1">
        <v>6.4339999999999997E-6</v>
      </c>
      <c r="C13" s="1">
        <v>2.05E-5</v>
      </c>
    </row>
    <row r="14" spans="1:5">
      <c r="A14">
        <v>4.25</v>
      </c>
      <c r="B14" s="1">
        <v>3.8489999999999999E-6</v>
      </c>
      <c r="C14" s="1">
        <v>1.434E-5</v>
      </c>
    </row>
    <row r="15" spans="1:5">
      <c r="A15">
        <v>4.75</v>
      </c>
      <c r="B15" s="1">
        <v>1.733E-6</v>
      </c>
      <c r="C15" s="1">
        <v>7.5270000000000001E-6</v>
      </c>
    </row>
    <row r="17" spans="1:4" ht="28.9">
      <c r="A17" s="2" t="s">
        <v>7</v>
      </c>
      <c r="B17" s="6" t="s">
        <v>8</v>
      </c>
      <c r="C17" s="6" t="s">
        <v>9</v>
      </c>
    </row>
    <row r="18" spans="1:4" ht="16.149999999999999">
      <c r="A18">
        <v>0.5</v>
      </c>
      <c r="B18" s="1">
        <f>0.000000000026667*A18^6 - 0.000000002381538*A18^5 + 0.000000053174999*A18^4 - 0.000000642155358*A18^3 + 0.000005057563137*A18^2 - 0.000025526231297*A18 + 0.000056075167452</f>
        <v>4.4499422599046877E-5</v>
      </c>
      <c r="C18">
        <f>0.00000000009*A18^6 - 0.000000002*A18^5 + 0.000000008*A18^4 - 0.00000006*A18^3 - 0.0000005*A18^2 - 0.000006*A18 + 0.00005</f>
        <v>4.6867938906249999E-5</v>
      </c>
    </row>
    <row r="19" spans="1:4">
      <c r="A19">
        <v>1</v>
      </c>
      <c r="B19" s="1">
        <f>0.000000000026667*A19^6 - 0.000000002381538*A19^5 + 0.000000053174999*A19^4 - 0.000000642155358*A19^3 + 0.000005057563137*A19^2 - 0.000025526231297*A19 + 0.000056075167452</f>
        <v>3.5015164061999998E-5</v>
      </c>
      <c r="C19">
        <f t="shared" ref="C19:C27" si="0">0.00000000009*A19^6 - 0.000000002*A19^5 + 0.000000008*A19^4 - 0.00000006*A19^3 - 0.0000005*A19^2 - 0.000006*A19 + 0.00005</f>
        <v>4.3446090000000003E-5</v>
      </c>
    </row>
    <row r="20" spans="1:4">
      <c r="A20">
        <v>1.5</v>
      </c>
      <c r="B20" s="1">
        <f>0.000000000026667*A20^6 - 0.000000002381538*A20^5 + 0.000000053174999*A20^4 - 0.000000642155358*A20^3 + 0.000005057563137*A20^2 - 0.000025526231297*A20 + 0.000056075167452</f>
        <v>2.7249480613546871E-5</v>
      </c>
      <c r="C20">
        <f t="shared" si="0"/>
        <v>3.9698837656249999E-5</v>
      </c>
    </row>
    <row r="21" spans="1:4">
      <c r="A21">
        <v>2</v>
      </c>
      <c r="B21" s="1">
        <f>0.000000000026667*A21^6 - 0.000000002381538*A21^5 + 0.000000053174999*A21^4 - 0.000000642155358*A21^3 + 0.000005057563137*A21^2 - 0.000025526231297*A21 + 0.000056075167452</f>
        <v>2.0892011997999995E-5</v>
      </c>
      <c r="C21">
        <f t="shared" si="0"/>
        <v>3.558976E-5</v>
      </c>
    </row>
    <row r="22" spans="1:4">
      <c r="A22">
        <v>2.5</v>
      </c>
      <c r="B22" s="1">
        <f>0.000000000026667*A22^6 - 0.000000002381538*A22^5 + 0.000000053174999*A22^4 - 0.000000642155358*A22^3 + 0.000005057563137*A22^2 - 0.000025526231297*A22 + 0.000056075167452</f>
        <v>1.5686768173171867E-5</v>
      </c>
      <c r="C22">
        <f t="shared" si="0"/>
        <v>3.1076660156250003E-5</v>
      </c>
    </row>
    <row r="23" spans="1:4">
      <c r="A23">
        <v>3</v>
      </c>
      <c r="B23" s="1">
        <f>0.000000000026667*A23^6 - 0.000000002381538*A23^5 + 0.000000053174999*A23^4 - 0.000000642155358*A23^3 + 0.000005057563137*A23^2 - 0.000025526231297*A23 + 0.000056075167452</f>
        <v>1.1424248555999992E-5</v>
      </c>
      <c r="C23">
        <f t="shared" si="0"/>
        <v>2.6107610000000001E-5</v>
      </c>
    </row>
    <row r="24" spans="1:4">
      <c r="A24">
        <v>3.5</v>
      </c>
      <c r="B24" s="1">
        <f>0.000000000026667*A24^6 - 0.000000002381538*A24^5 + 0.000000053174999*A24^4 - 0.000000642155358*A24^3 + 0.000005057563137*A24^2 - 0.000025526231297*A24 + 0.000056075167452</f>
        <v>7.9338612719218643E-6</v>
      </c>
      <c r="C24">
        <f t="shared" si="0"/>
        <v>2.061800640625E-5</v>
      </c>
    </row>
    <row r="25" spans="1:4">
      <c r="A25">
        <v>4</v>
      </c>
      <c r="B25" s="1">
        <f>0.000000000026667*A25^6 - 0.000000002381538*A25^5 + 0.000000053174999*A25^4 - 0.000000642155358*A25^3 + 0.000005057563137*A25^2 - 0.000025526231297*A25 + 0.000056075167452</f>
        <v>5.0766424079999953E-6</v>
      </c>
      <c r="C25">
        <f t="shared" si="0"/>
        <v>1.4528640000000005E-5</v>
      </c>
    </row>
    <row r="26" spans="1:4">
      <c r="A26">
        <v>4.5</v>
      </c>
      <c r="B26" s="1">
        <f>0.000000000026667*A26^6 - 0.000000002381538*A26^5 + 0.000000053174999*A26^4 - 0.000000642155358*A26^3 + 0.000005057563137*A26^2 - 0.000025526231297*A26 + 0.000056075167452</f>
        <v>2.7382752697968789E-6</v>
      </c>
      <c r="C26">
        <f t="shared" si="0"/>
        <v>7.744776406250007E-6</v>
      </c>
    </row>
    <row r="27" spans="1:4">
      <c r="A27">
        <v>5</v>
      </c>
      <c r="B27" s="1">
        <f>0.000000000026667*A27^6 - 0.000000002381538*A27^5 + 0.000000053174999*A27^4 - 0.000000642155358*A27^3 + 0.000005057563137*A27^2 - 0.000025526231297*A27 + 0.000056075167452</f>
        <v>8.2240964199998135E-7</v>
      </c>
      <c r="C27">
        <f t="shared" si="0"/>
        <v>1.5625000000000041E-7</v>
      </c>
    </row>
    <row r="29" spans="1:4">
      <c r="A29" s="2" t="s">
        <v>7</v>
      </c>
      <c r="B29" s="2" t="s">
        <v>10</v>
      </c>
      <c r="C29" s="2" t="s">
        <v>11</v>
      </c>
      <c r="D29" s="2" t="s">
        <v>12</v>
      </c>
    </row>
    <row r="30" spans="1:4" ht="15">
      <c r="A30">
        <v>0</v>
      </c>
      <c r="B30" s="1">
        <f>0.000000000026667*A30^6 - 0.000000002381538*A30^5 + 0.000000053174999*A30^4 - 0.000000642155358*A30^3 + 0.000005057563137*A30^2 - 0.000025526231297*A30 + 0.000056075167452</f>
        <v>5.6075167452000001E-5</v>
      </c>
      <c r="C30" s="7">
        <f>0.000000000093333*A30^6 - 0.000000001637949*A30^5 + 0.000000007715064*A30^4 - 0.000000063925465*A30^3 - 0.000000518890749*A30^2 - 0.00000555257059*A30 + 0.000051421490863</f>
        <v>5.1421490863000001E-5</v>
      </c>
    </row>
    <row r="31" spans="1:4" ht="15">
      <c r="A31">
        <v>0.125</v>
      </c>
      <c r="B31" s="1">
        <f t="shared" ref="B31:B70" si="1">0.000000000026667*A31^6 - 0.000000002381538*A31^5 + 0.000000053174999*A31^4 - 0.000000642155358*A31^3 + 0.000005057563137*A31^2 - 0.000025526231297*A31 + 0.000056075167452</f>
        <v>5.2962171663807476E-5</v>
      </c>
      <c r="C31" s="7">
        <f t="shared" ref="C31:C70" si="2">0.000000000093333*A31^6 - 0.000000001637949*A31^5 + 0.000000007715064*A31^4 - 0.000000063925465*A31^3 - 0.000000518890749*A31^2 - 0.00000555257059*A31 + 0.000051421490863</f>
        <v>5.0719188850803397E-5</v>
      </c>
    </row>
    <row r="32" spans="1:4" ht="15">
      <c r="A32">
        <v>0.25</v>
      </c>
      <c r="B32" s="1">
        <f t="shared" si="1"/>
        <v>4.9999879041973388E-5</v>
      </c>
      <c r="C32" s="7">
        <f t="shared" si="2"/>
        <v>4.9999947268492433E-5</v>
      </c>
    </row>
    <row r="33" spans="1:3" ht="15">
      <c r="A33">
        <v>0.375</v>
      </c>
      <c r="B33" s="1">
        <f t="shared" si="1"/>
        <v>4.7181220839902356E-5</v>
      </c>
      <c r="C33" s="7">
        <f t="shared" si="2"/>
        <v>4.9263077492028398E-5</v>
      </c>
    </row>
    <row r="34" spans="1:3" ht="15">
      <c r="A34">
        <v>0.5</v>
      </c>
      <c r="B34" s="1">
        <f t="shared" si="1"/>
        <v>4.4499422599046877E-5</v>
      </c>
      <c r="C34" s="7">
        <f t="shared" si="2"/>
        <v>4.8507924661546876E-5</v>
      </c>
    </row>
    <row r="35" spans="1:3" ht="15">
      <c r="A35">
        <v>0.625</v>
      </c>
      <c r="B35" s="1">
        <f t="shared" si="1"/>
        <v>4.1947995610562448E-5</v>
      </c>
      <c r="C35" s="7">
        <f t="shared" si="2"/>
        <v>4.7733862323876176E-5</v>
      </c>
    </row>
    <row r="36" spans="1:3" ht="15">
      <c r="A36">
        <v>0.75</v>
      </c>
      <c r="B36" s="1">
        <f t="shared" si="1"/>
        <v>3.952072845020581E-5</v>
      </c>
      <c r="C36" s="7">
        <f t="shared" si="2"/>
        <v>4.6940287331402589E-5</v>
      </c>
    </row>
    <row r="37" spans="1:3" ht="15">
      <c r="A37">
        <v>0.875</v>
      </c>
      <c r="B37" s="1">
        <f t="shared" si="1"/>
        <v>3.7211678586476236E-5</v>
      </c>
      <c r="C37" s="7">
        <f t="shared" si="2"/>
        <v>4.6126614997282279E-5</v>
      </c>
    </row>
    <row r="38" spans="1:3" ht="15">
      <c r="A38">
        <v>1</v>
      </c>
      <c r="B38" s="1">
        <f t="shared" si="1"/>
        <v>3.5015164061999998E-5</v>
      </c>
      <c r="C38" s="7">
        <f t="shared" si="2"/>
        <v>4.5292274507000003E-5</v>
      </c>
    </row>
    <row r="39" spans="1:3" ht="15">
      <c r="A39">
        <v>1.125</v>
      </c>
      <c r="B39" s="1">
        <f t="shared" si="1"/>
        <v>3.2925755248157878E-5</v>
      </c>
      <c r="C39" s="7">
        <f t="shared" si="2"/>
        <v>4.4436704586274524E-5</v>
      </c>
    </row>
    <row r="40" spans="1:3" ht="15">
      <c r="A40">
        <v>1.25</v>
      </c>
      <c r="B40" s="1">
        <f t="shared" si="1"/>
        <v>3.0938266672955806E-5</v>
      </c>
      <c r="C40" s="7">
        <f t="shared" si="2"/>
        <v>4.355934942531079E-5</v>
      </c>
    </row>
    <row r="41" spans="1:3" ht="15">
      <c r="A41">
        <v>1.375</v>
      </c>
      <c r="B41" s="1">
        <f t="shared" si="1"/>
        <v>2.9047748922138621E-5</v>
      </c>
      <c r="C41" s="7">
        <f t="shared" si="2"/>
        <v>4.2659654859398824E-5</v>
      </c>
    </row>
    <row r="42" spans="1:3" ht="15">
      <c r="A42">
        <v>1.5</v>
      </c>
      <c r="B42" s="1">
        <f t="shared" si="1"/>
        <v>2.7249480613546871E-5</v>
      </c>
      <c r="C42" s="7">
        <f t="shared" si="2"/>
        <v>4.1737064805859379E-5</v>
      </c>
    </row>
    <row r="43" spans="1:3" ht="15">
      <c r="A43">
        <v>1.625</v>
      </c>
      <c r="B43" s="1">
        <f t="shared" si="1"/>
        <v>2.5538960444716805E-5</v>
      </c>
      <c r="C43" s="7">
        <f t="shared" si="2"/>
        <v>4.0791017957336325E-5</v>
      </c>
    </row>
    <row r="44" spans="1:3" ht="15">
      <c r="A44">
        <v>1.75</v>
      </c>
      <c r="B44" s="1">
        <f t="shared" si="1"/>
        <v>2.3911899313723387E-5</v>
      </c>
      <c r="C44" s="7">
        <f t="shared" si="2"/>
        <v>3.982094473143579E-5</v>
      </c>
    </row>
    <row r="45" spans="1:3" ht="15">
      <c r="A45">
        <v>1.875</v>
      </c>
      <c r="B45" s="1">
        <f t="shared" si="1"/>
        <v>2.2364212513266456E-5</v>
      </c>
      <c r="C45" s="7">
        <f t="shared" si="2"/>
        <v>3.8826264476712026E-5</v>
      </c>
    </row>
    <row r="46" spans="1:3" ht="15">
      <c r="A46">
        <v>2</v>
      </c>
      <c r="B46" s="1">
        <f t="shared" si="1"/>
        <v>2.0892011997999995E-5</v>
      </c>
      <c r="C46" s="7">
        <f t="shared" si="2"/>
        <v>3.7806382935000004E-5</v>
      </c>
    </row>
    <row r="47" spans="1:3" ht="15">
      <c r="A47">
        <v>2.125</v>
      </c>
      <c r="B47" s="1">
        <f t="shared" si="1"/>
        <v>1.9491598725104468E-5</v>
      </c>
      <c r="C47" s="7">
        <f t="shared" si="2"/>
        <v>3.6760689960094775E-5</v>
      </c>
    </row>
    <row r="48" spans="1:3" ht="15">
      <c r="A48">
        <v>2.25</v>
      </c>
      <c r="B48" s="1">
        <f t="shared" si="1"/>
        <v>1.8159455068102294E-5</v>
      </c>
      <c r="C48" s="7">
        <f t="shared" si="2"/>
        <v>3.5688557492777583E-5</v>
      </c>
    </row>
    <row r="49" spans="1:3" ht="15">
      <c r="A49">
        <v>2.375</v>
      </c>
      <c r="B49" s="1">
        <f t="shared" si="1"/>
        <v>1.6892237303916386E-5</v>
      </c>
      <c r="C49" s="7">
        <f t="shared" si="2"/>
        <v>3.4589337792188681E-5</v>
      </c>
    </row>
    <row r="50" spans="1:3" ht="15">
      <c r="A50">
        <v>2.5</v>
      </c>
      <c r="B50" s="1">
        <f t="shared" si="1"/>
        <v>1.5686768173171867E-5</v>
      </c>
      <c r="C50" s="7">
        <f t="shared" si="2"/>
        <v>3.3462361923546877E-5</v>
      </c>
    </row>
    <row r="51" spans="1:3" ht="15">
      <c r="A51">
        <v>2.625</v>
      </c>
      <c r="B51" s="1">
        <f t="shared" si="1"/>
        <v>1.4540029513740789E-5</v>
      </c>
      <c r="C51" s="7">
        <f t="shared" si="2"/>
        <v>3.2306938502215902E-5</v>
      </c>
    </row>
    <row r="52" spans="1:3" ht="15">
      <c r="A52">
        <v>2.75</v>
      </c>
      <c r="B52" s="1">
        <f t="shared" si="1"/>
        <v>1.3449154967530019E-5</v>
      </c>
      <c r="C52" s="7">
        <f t="shared" si="2"/>
        <v>3.1122352694117433E-5</v>
      </c>
    </row>
    <row r="53" spans="1:3" ht="15">
      <c r="A53">
        <v>2.875</v>
      </c>
      <c r="B53" s="1">
        <f t="shared" si="1"/>
        <v>1.2411422760512246E-5</v>
      </c>
      <c r="C53" s="7">
        <f t="shared" si="2"/>
        <v>2.9907865472490892E-5</v>
      </c>
    </row>
    <row r="54" spans="1:3" ht="15">
      <c r="A54">
        <v>3</v>
      </c>
      <c r="B54" s="1">
        <f t="shared" si="1"/>
        <v>1.1424248555999992E-5</v>
      </c>
      <c r="C54" s="7">
        <f t="shared" si="2"/>
        <v>2.8662713130999999E-5</v>
      </c>
    </row>
    <row r="55" spans="1:3" ht="15">
      <c r="A55">
        <v>3.125</v>
      </c>
      <c r="B55" s="1">
        <f t="shared" si="1"/>
        <v>1.0485178381162874E-5</v>
      </c>
      <c r="C55" s="7">
        <f t="shared" si="2"/>
        <v>2.7386107053186023E-5</v>
      </c>
    </row>
    <row r="56" spans="1:3" ht="15">
      <c r="A56">
        <v>3.25</v>
      </c>
      <c r="B56" s="1">
        <f t="shared" si="1"/>
        <v>9.5918816267878335E-6</v>
      </c>
      <c r="C56" s="7">
        <f t="shared" si="2"/>
        <v>2.607723373826782E-5</v>
      </c>
    </row>
    <row r="57" spans="1:3" ht="15">
      <c r="A57">
        <v>3.375</v>
      </c>
      <c r="B57" s="1">
        <f t="shared" si="1"/>
        <v>8.7421441202825402E-6</v>
      </c>
      <c r="C57" s="7">
        <f t="shared" si="2"/>
        <v>2.4735255083288594E-5</v>
      </c>
    </row>
    <row r="58" spans="1:3" ht="15">
      <c r="A58">
        <v>3.5</v>
      </c>
      <c r="B58" s="1">
        <f t="shared" si="1"/>
        <v>7.9338612719218643E-6</v>
      </c>
      <c r="C58" s="7">
        <f t="shared" si="2"/>
        <v>2.3359308921609377E-5</v>
      </c>
    </row>
    <row r="59" spans="1:3" ht="15">
      <c r="A59">
        <v>3.625</v>
      </c>
      <c r="B59" s="1">
        <f t="shared" si="1"/>
        <v>7.1650312943375335E-6</v>
      </c>
      <c r="C59" s="7">
        <f t="shared" si="2"/>
        <v>2.1948509817749287E-5</v>
      </c>
    </row>
    <row r="60" spans="1:3" ht="15">
      <c r="A60">
        <v>3.75</v>
      </c>
      <c r="B60" s="1">
        <f t="shared" si="1"/>
        <v>6.4337484952507355E-6</v>
      </c>
      <c r="C60" s="7">
        <f t="shared" si="2"/>
        <v>2.0501950118572508E-5</v>
      </c>
    </row>
    <row r="61" spans="1:3" ht="15">
      <c r="A61">
        <v>3.875</v>
      </c>
      <c r="B61" s="1">
        <f t="shared" si="1"/>
        <v>5.7381966434479764E-6</v>
      </c>
      <c r="C61" s="7">
        <f t="shared" si="2"/>
        <v>1.9018701260822015E-5</v>
      </c>
    </row>
    <row r="62" spans="1:3" ht="15">
      <c r="A62">
        <v>4</v>
      </c>
      <c r="B62" s="1">
        <f t="shared" si="1"/>
        <v>5.0766424079999953E-6</v>
      </c>
      <c r="C62" s="7">
        <f t="shared" si="2"/>
        <v>1.7497815335000001E-5</v>
      </c>
    </row>
    <row r="63" spans="1:3" ht="15">
      <c r="A63">
        <v>4.125</v>
      </c>
      <c r="B63" s="1">
        <f t="shared" si="1"/>
        <v>4.4474288707237379E-6</v>
      </c>
      <c r="C63" s="7">
        <f t="shared" si="2"/>
        <v>1.5938326905595139E-5</v>
      </c>
    </row>
    <row r="64" spans="1:3" ht="15">
      <c r="A64">
        <v>4.25</v>
      </c>
      <c r="B64" s="1">
        <f t="shared" si="1"/>
        <v>3.8489691118874468E-6</v>
      </c>
      <c r="C64" s="7">
        <f t="shared" si="2"/>
        <v>1.4339255087656489E-5</v>
      </c>
    </row>
    <row r="65" spans="1:3" ht="15">
      <c r="A65">
        <v>4.375</v>
      </c>
      <c r="B65" s="1">
        <f t="shared" si="1"/>
        <v>3.2797398691589405E-6</v>
      </c>
      <c r="C65" s="7">
        <f t="shared" si="2"/>
        <v>1.2699605879714192E-5</v>
      </c>
    </row>
    <row r="66" spans="1:3" ht="15">
      <c r="A66">
        <v>4.5</v>
      </c>
      <c r="B66" s="1">
        <f t="shared" si="1"/>
        <v>2.7382752697968789E-6</v>
      </c>
      <c r="C66" s="7">
        <f t="shared" si="2"/>
        <v>1.1018374753046874E-5</v>
      </c>
    </row>
    <row r="67" spans="1:3" ht="15">
      <c r="A67">
        <v>4.625</v>
      </c>
      <c r="B67" s="1">
        <f t="shared" si="1"/>
        <v>2.2231606360851582E-6</v>
      </c>
      <c r="C67" s="7">
        <f t="shared" si="2"/>
        <v>9.2945494972958534E-6</v>
      </c>
    </row>
    <row r="68" spans="1:3" ht="15">
      <c r="A68">
        <v>4.75</v>
      </c>
      <c r="B68" s="1">
        <f t="shared" si="1"/>
        <v>1.7330263640104809E-6</v>
      </c>
      <c r="C68" s="7">
        <f t="shared" si="2"/>
        <v>7.5271133224260255E-6</v>
      </c>
    </row>
    <row r="69" spans="1:3" ht="15">
      <c r="A69">
        <v>4.875</v>
      </c>
      <c r="B69" s="1">
        <f t="shared" si="1"/>
        <v>1.2665418751830278E-6</v>
      </c>
      <c r="C69" s="7">
        <f t="shared" si="2"/>
        <v>5.715048217033497E-6</v>
      </c>
    </row>
    <row r="70" spans="1:3" ht="15">
      <c r="A70">
        <v>5</v>
      </c>
      <c r="B70" s="1">
        <f t="shared" si="1"/>
        <v>8.2240964199998135E-7</v>
      </c>
      <c r="C70" s="7">
        <f t="shared" si="2"/>
        <v>3.8573385630000031E-6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1F3D1A80595C4F8AED94119A2A8937" ma:contentTypeVersion="2" ma:contentTypeDescription="Crear nuevo documento." ma:contentTypeScope="" ma:versionID="bb3deb3d51ff691481984e4a8a9475fa">
  <xsd:schema xmlns:xsd="http://www.w3.org/2001/XMLSchema" xmlns:xs="http://www.w3.org/2001/XMLSchema" xmlns:p="http://schemas.microsoft.com/office/2006/metadata/properties" xmlns:ns2="54857046-b745-4d00-bbfd-939b6161bb60" targetNamespace="http://schemas.microsoft.com/office/2006/metadata/properties" ma:root="true" ma:fieldsID="41df5bbe995bb1901e197e2ff84ad552" ns2:_="">
    <xsd:import namespace="54857046-b745-4d00-bbfd-939b6161bb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857046-b745-4d00-bbfd-939b6161bb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321146-766D-49A9-96E6-96AF3F9666D9}"/>
</file>

<file path=customXml/itemProps2.xml><?xml version="1.0" encoding="utf-8"?>
<ds:datastoreItem xmlns:ds="http://schemas.openxmlformats.org/officeDocument/2006/customXml" ds:itemID="{07654070-BEF0-4FEC-BB9A-A069DF636585}"/>
</file>

<file path=customXml/itemProps3.xml><?xml version="1.0" encoding="utf-8"?>
<ds:datastoreItem xmlns:ds="http://schemas.openxmlformats.org/officeDocument/2006/customXml" ds:itemID="{ED171DF3-D6AD-4D27-93E6-0AFB67EB5E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DANIEL ELICES CHELLE</cp:lastModifiedBy>
  <cp:revision/>
  <dcterms:created xsi:type="dcterms:W3CDTF">2021-04-11T14:26:35Z</dcterms:created>
  <dcterms:modified xsi:type="dcterms:W3CDTF">2021-04-17T15:03:53Z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0x010100BA1F3D1A80595C4F8AED94119A2A8937</vt:lpwstr>
  </property>
</Properties>
</file>